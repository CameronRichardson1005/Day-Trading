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3600" windowHeight="18780" tabRatio="600" firstSheet="0" activeTab="0" autoFilterDateGrouping="1"/>
  </bookViews>
  <sheets>
    <sheet name="Invest" sheetId="1" state="visible" r:id="rId1"/>
    <sheet name="1 minute intervals" sheetId="2" state="visible" r:id="rId2"/>
    <sheet name="Trad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0.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2" fillId="0" borderId="0"/>
    <xf numFmtId="44" fontId="2" fillId="0" borderId="0"/>
    <xf numFmtId="9" fontId="2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3" fillId="3" borderId="1" pivotButton="0" quotePrefix="0" xfId="0"/>
    <xf numFmtId="0" fontId="3" fillId="3" borderId="2" pivotButton="0" quotePrefix="0" xfId="0"/>
    <xf numFmtId="0" fontId="3" fillId="3" borderId="0" pivotButton="0" quotePrefix="0" xfId="0"/>
    <xf numFmtId="16" fontId="0" fillId="0" borderId="3" applyAlignment="1" pivotButton="0" quotePrefix="0" xfId="0">
      <alignment horizontal="right"/>
    </xf>
    <xf numFmtId="0" fontId="0" fillId="0" borderId="3" pivotButton="0" quotePrefix="0" xfId="0"/>
    <xf numFmtId="164" fontId="0" fillId="0" borderId="3" pivotButton="0" quotePrefix="0" xfId="1"/>
    <xf numFmtId="165" fontId="0" fillId="0" borderId="3" pivotButton="0" quotePrefix="0" xfId="2"/>
    <xf numFmtId="165" fontId="0" fillId="0" borderId="0" pivotButton="0" quotePrefix="0" xfId="2"/>
    <xf numFmtId="16" fontId="0" fillId="0" borderId="3" pivotButton="0" quotePrefix="0" xfId="0"/>
    <xf numFmtId="164" fontId="0" fillId="0" borderId="3" pivotButton="0" quotePrefix="0" xfId="1"/>
    <xf numFmtId="165" fontId="0" fillId="0" borderId="3" pivotButton="0" quotePrefix="0" xfId="2"/>
    <xf numFmtId="165" fontId="0" fillId="0" borderId="0" pivotButton="0" quotePrefix="0" xfId="2"/>
  </cellXfs>
  <cellStyles count="3">
    <cellStyle name="Normal" xfId="0" builtinId="0"/>
    <cellStyle name="Currency" xfId="1" builtinId="4"/>
    <cellStyle name="Per cent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zoomScale="119" workbookViewId="0">
      <selection activeCell="Q2" sqref="Q2"/>
    </sheetView>
  </sheetViews>
  <sheetFormatPr baseColWidth="10" defaultColWidth="8.83203125" defaultRowHeight="15" outlineLevelCol="0"/>
  <cols>
    <col width="12.33203125" customWidth="1" min="1" max="1"/>
    <col width="7.33203125" customWidth="1" min="7" max="7"/>
    <col width="13.1640625" customWidth="1" min="9" max="9"/>
    <col width="11.6640625" customWidth="1" min="10" max="10"/>
    <col width="11.33203125" customWidth="1" min="11" max="11"/>
    <col width="15.1640625" customWidth="1" min="16" max="16"/>
    <col width="18.5" customWidth="1" min="17" max="17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ATR</t>
        </is>
      </c>
      <c r="H1" s="1" t="inlineStr">
        <is>
          <t>ATR x 0.25</t>
        </is>
      </c>
      <c r="I1" s="1" t="inlineStr">
        <is>
          <t>High-Low Range</t>
        </is>
      </c>
      <c r="J1" s="1" t="inlineStr">
        <is>
          <t>Manipulation</t>
        </is>
      </c>
      <c r="K1" s="1" t="inlineStr">
        <is>
          <t>Red Candle</t>
        </is>
      </c>
      <c r="L1" s="1" t="inlineStr">
        <is>
          <t>Invest</t>
        </is>
      </c>
      <c r="M1" s="1" t="inlineStr">
        <is>
          <t>Limit Buy</t>
        </is>
      </c>
      <c r="N1" s="1" t="inlineStr">
        <is>
          <t>Limit Sell</t>
        </is>
      </c>
      <c r="O1" s="1" t="inlineStr">
        <is>
          <t>Stop Loss</t>
        </is>
      </c>
      <c r="P1" s="1" t="inlineStr">
        <is>
          <t>Trading Stop Loss</t>
        </is>
      </c>
      <c r="Q1" s="1" t="inlineStr">
        <is>
          <t>Closer to High or Low</t>
        </is>
      </c>
    </row>
    <row r="2">
      <c r="A2" t="inlineStr">
        <is>
          <t>2026-07-08</t>
        </is>
      </c>
      <c r="B2" t="inlineStr">
        <is>
          <t>BBAI</t>
        </is>
      </c>
      <c r="C2" t="n">
        <v>3.365</v>
      </c>
      <c r="D2" t="n">
        <v>3.45</v>
      </c>
      <c r="E2" t="n">
        <v>3.35</v>
      </c>
      <c r="F2" t="n">
        <v>3.4327</v>
      </c>
      <c r="G2" t="n">
        <v>0.2512</v>
      </c>
      <c r="H2" t="n">
        <v>0.06279999999999999</v>
      </c>
      <c r="I2" t="n">
        <v>0.1</v>
      </c>
      <c r="J2" t="inlineStr">
        <is>
          <t>YES</t>
        </is>
      </c>
      <c r="K2" t="inlineStr">
        <is>
          <t>NO</t>
        </is>
      </c>
      <c r="L2" t="inlineStr">
        <is>
          <t>NO INVEST</t>
        </is>
      </c>
      <c r="M2" t="n">
        <v>3.35</v>
      </c>
      <c r="N2" t="n">
        <v>3.3882</v>
      </c>
      <c r="O2" t="n">
        <v>3.2809</v>
      </c>
      <c r="P2" t="n">
        <v>3.2309</v>
      </c>
      <c r="Q2" t="inlineStr">
        <is>
          <t>1.7¢ from High</t>
        </is>
      </c>
    </row>
    <row r="3">
      <c r="A3" t="inlineStr">
        <is>
          <t>2026-07-08</t>
        </is>
      </c>
      <c r="B3" t="inlineStr">
        <is>
          <t>OPEN</t>
        </is>
      </c>
      <c r="C3" t="n">
        <v>4.71</v>
      </c>
      <c r="D3" t="n">
        <v>4.735</v>
      </c>
      <c r="E3" t="n">
        <v>4.535</v>
      </c>
      <c r="F3" t="n">
        <v>4.615</v>
      </c>
      <c r="G3" t="n">
        <v>0.3651</v>
      </c>
      <c r="H3" t="n">
        <v>0.09130000000000001</v>
      </c>
      <c r="I3" t="n">
        <v>0.2</v>
      </c>
      <c r="J3" t="inlineStr">
        <is>
          <t>YES</t>
        </is>
      </c>
      <c r="K3" t="inlineStr">
        <is>
          <t>YES</t>
        </is>
      </c>
      <c r="L3" t="inlineStr">
        <is>
          <t>INVEST</t>
        </is>
      </c>
      <c r="M3" t="n">
        <v>4.535</v>
      </c>
      <c r="N3" t="n">
        <v>4.6114</v>
      </c>
      <c r="O3" t="n">
        <v>4.4468</v>
      </c>
      <c r="P3" t="n">
        <v>4.3968</v>
      </c>
      <c r="Q3" t="inlineStr">
        <is>
          <t>8.0¢ from Low</t>
        </is>
      </c>
    </row>
    <row r="4">
      <c r="A4" t="inlineStr">
        <is>
          <t>2026-07-08</t>
        </is>
      </c>
      <c r="B4" t="inlineStr">
        <is>
          <t>SOUN</t>
        </is>
      </c>
      <c r="C4" t="n">
        <v>6.5</v>
      </c>
      <c r="D4" t="n">
        <v>6.69</v>
      </c>
      <c r="E4" t="n">
        <v>6.48</v>
      </c>
      <c r="F4" t="n">
        <v>6.685</v>
      </c>
      <c r="G4" t="n">
        <v>0.4651</v>
      </c>
      <c r="H4" t="n">
        <v>0.1163</v>
      </c>
      <c r="I4" t="n">
        <v>0.21</v>
      </c>
      <c r="J4" t="inlineStr">
        <is>
          <t>YES</t>
        </is>
      </c>
      <c r="K4" t="inlineStr">
        <is>
          <t>NO</t>
        </is>
      </c>
      <c r="L4" t="inlineStr">
        <is>
          <t>NO INVEST</t>
        </is>
      </c>
      <c r="M4" t="n">
        <v>6.48</v>
      </c>
      <c r="N4" t="n">
        <v>6.5602</v>
      </c>
      <c r="O4" t="n">
        <v>6.3899</v>
      </c>
      <c r="P4" t="n">
        <v>6.3399</v>
      </c>
      <c r="Q4" t="inlineStr">
        <is>
          <t>0.5¢ from 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topLeftCell="A32" workbookViewId="0">
      <selection activeCell="K55" sqref="A1:K55"/>
    </sheetView>
  </sheetViews>
  <sheetFormatPr baseColWidth="10" defaultColWidth="8.83203125" defaultRowHeight="15"/>
  <sheetData>
    <row r="1">
      <c r="A1" t="inlineStr">
        <is>
          <t>2026-07-08</t>
        </is>
      </c>
      <c r="B1" t="inlineStr">
        <is>
          <t>BBAI</t>
        </is>
      </c>
      <c r="C1" t="n">
        <v>3.4</v>
      </c>
      <c r="D1" t="n">
        <v>3.355</v>
      </c>
      <c r="E1" t="inlineStr">
        <is>
          <t>13:32</t>
        </is>
      </c>
    </row>
    <row r="2">
      <c r="A2" t="inlineStr">
        <is>
          <t>2026-07-08</t>
        </is>
      </c>
      <c r="B2" t="inlineStr">
        <is>
          <t>OPEN</t>
        </is>
      </c>
      <c r="C2" t="n">
        <v>4.735</v>
      </c>
      <c r="D2" t="n">
        <v>4.535</v>
      </c>
      <c r="E2" t="inlineStr">
        <is>
          <t>13:45</t>
        </is>
      </c>
    </row>
    <row r="3">
      <c r="A3" t="inlineStr">
        <is>
          <t>2026-07-08</t>
        </is>
      </c>
      <c r="B3" t="inlineStr">
        <is>
          <t>SOUN</t>
        </is>
      </c>
      <c r="C3" t="n">
        <v>6.6999</v>
      </c>
      <c r="D3" t="n">
        <v>6.48</v>
      </c>
      <c r="E3" t="inlineStr">
        <is>
          <t>13:45</t>
        </is>
      </c>
    </row>
    <row r="4">
      <c r="A4" t="inlineStr">
        <is>
          <t>2026-07-08</t>
        </is>
      </c>
      <c r="B4" t="inlineStr">
        <is>
          <t>BBAI</t>
        </is>
      </c>
      <c r="C4" t="n">
        <v>3.45</v>
      </c>
      <c r="D4" t="n">
        <v>3.35</v>
      </c>
      <c r="E4" t="inlineStr">
        <is>
          <t>13:45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N2" sqref="N2"/>
    </sheetView>
  </sheetViews>
  <sheetFormatPr baseColWidth="10" defaultRowHeight="15"/>
  <sheetData>
    <row r="1" ht="16" customHeight="1">
      <c r="A1" s="2" t="inlineStr">
        <is>
          <t>Date</t>
        </is>
      </c>
      <c r="B1" s="2" t="inlineStr">
        <is>
          <t>Account</t>
        </is>
      </c>
      <c r="C1" s="2" t="inlineStr">
        <is>
          <t>Stock</t>
        </is>
      </c>
      <c r="D1" s="2" t="inlineStr">
        <is>
          <t>Shares</t>
        </is>
      </c>
      <c r="E1" s="2" t="inlineStr">
        <is>
          <t>Purchase Price</t>
        </is>
      </c>
      <c r="F1" s="2" t="inlineStr">
        <is>
          <t>Purchased Value</t>
        </is>
      </c>
      <c r="G1" s="2" t="inlineStr">
        <is>
          <t>Sell Price</t>
        </is>
      </c>
      <c r="H1" s="3" t="inlineStr">
        <is>
          <t>Sold Value</t>
        </is>
      </c>
      <c r="I1" s="3" t="inlineStr">
        <is>
          <t>Additional</t>
        </is>
      </c>
      <c r="J1" s="2" t="inlineStr">
        <is>
          <t>Fees</t>
        </is>
      </c>
      <c r="K1" s="2" t="inlineStr">
        <is>
          <t>Net Sold</t>
        </is>
      </c>
      <c r="L1" s="2" t="inlineStr">
        <is>
          <t>Profit / Loss</t>
        </is>
      </c>
      <c r="M1" s="3" t="inlineStr">
        <is>
          <t>Return</t>
        </is>
      </c>
      <c r="N1" s="4" t="inlineStr">
        <is>
          <t>Risk Ratio</t>
        </is>
      </c>
    </row>
    <row r="2">
      <c r="A2" s="5" t="n">
        <v>46211</v>
      </c>
      <c r="B2" s="6" t="inlineStr">
        <is>
          <t>Webull</t>
        </is>
      </c>
      <c r="C2" s="6" t="inlineStr">
        <is>
          <t>Open</t>
        </is>
      </c>
      <c r="D2" s="6" t="n">
        <v>22</v>
      </c>
      <c r="E2" s="11" t="n">
        <v>4.54</v>
      </c>
      <c r="F2" s="11">
        <f>+D2*E2</f>
        <v/>
      </c>
      <c r="G2" s="11" t="n">
        <v>4.61</v>
      </c>
      <c r="H2" s="11">
        <f>+G2*D2</f>
        <v/>
      </c>
      <c r="I2" s="11" t="n">
        <v>0</v>
      </c>
      <c r="J2" s="11" t="n">
        <v>0</v>
      </c>
      <c r="K2" s="11">
        <f>+H2-I2-J2</f>
        <v/>
      </c>
      <c r="L2" s="11">
        <f>+G2*D2-D2*E2-J2+I2</f>
        <v/>
      </c>
      <c r="M2" s="12">
        <f>IF(L2=0,0,+L2/(D2*E2))</f>
        <v/>
      </c>
      <c r="N2" s="13" t="n"/>
    </row>
    <row r="3">
      <c r="A3" s="5" t="n"/>
      <c r="B3" s="6" t="n"/>
      <c r="C3" s="6" t="n"/>
      <c r="D3" s="6" t="n"/>
      <c r="E3" s="11" t="n"/>
      <c r="F3" s="11" t="n"/>
      <c r="G3" s="11" t="n"/>
      <c r="H3" s="11" t="n"/>
      <c r="I3" s="11" t="n"/>
      <c r="J3" s="11" t="n"/>
      <c r="K3" s="11" t="n"/>
      <c r="L3" s="11" t="n"/>
      <c r="M3" s="12" t="n"/>
      <c r="N3" s="13" t="n"/>
    </row>
    <row r="4">
      <c r="A4" s="5" t="n"/>
      <c r="B4" s="10" t="n"/>
      <c r="C4" s="6" t="n"/>
      <c r="D4" s="6" t="n"/>
      <c r="E4" s="11" t="n"/>
      <c r="F4" s="11" t="n"/>
      <c r="G4" s="11" t="n"/>
      <c r="H4" s="11" t="n"/>
      <c r="I4" s="11" t="n"/>
      <c r="J4" s="11" t="n"/>
      <c r="K4" s="11" t="n"/>
      <c r="L4" s="11" t="n"/>
      <c r="M4" s="12" t="n"/>
      <c r="N4" s="13" t="n"/>
    </row>
    <row r="5">
      <c r="A5" s="5" t="n"/>
      <c r="B5" s="10" t="n"/>
      <c r="C5" s="6" t="n"/>
      <c r="D5" s="6" t="n"/>
      <c r="E5" s="11" t="n"/>
      <c r="F5" s="11" t="n"/>
      <c r="G5" s="11" t="n"/>
      <c r="H5" s="11" t="n"/>
      <c r="I5" s="11" t="n"/>
      <c r="J5" s="11" t="n"/>
      <c r="K5" s="11" t="n"/>
      <c r="L5" s="11" t="n"/>
      <c r="M5" s="12" t="n"/>
      <c r="N5" s="13" t="n"/>
    </row>
    <row r="6">
      <c r="A6" s="5" t="n"/>
      <c r="B6" s="6" t="n"/>
      <c r="C6" s="6" t="n"/>
      <c r="D6" s="6" t="n"/>
      <c r="E6" s="11" t="n"/>
      <c r="F6" s="11" t="n"/>
      <c r="G6" s="11" t="n"/>
      <c r="H6" s="11" t="n"/>
      <c r="I6" s="11" t="n"/>
      <c r="J6" s="11" t="n"/>
      <c r="K6" s="11" t="n"/>
      <c r="L6" s="11" t="n"/>
      <c r="M6" s="12" t="n"/>
      <c r="N6" s="13" t="n"/>
    </row>
    <row r="7">
      <c r="A7" s="5" t="n"/>
      <c r="B7" s="6" t="n"/>
      <c r="C7" s="6" t="n"/>
      <c r="D7" s="6" t="n"/>
      <c r="E7" s="11" t="n"/>
      <c r="F7" s="11" t="n"/>
      <c r="G7" s="11" t="n"/>
      <c r="H7" s="11" t="n"/>
      <c r="I7" s="11" t="n"/>
      <c r="J7" s="11" t="n"/>
      <c r="K7" s="11" t="n"/>
      <c r="L7" s="11" t="n"/>
      <c r="M7" s="12" t="n"/>
      <c r="N7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2026-07-08T00:11:47Z</dcterms:created>
  <dcterms:modified xsi:type="dcterms:W3CDTF">2026-07-08T21:37:12Z</dcterms:modified>
  <cp:lastModifiedBy>Richardson, Cameron - richa3cr</cp:lastModifiedBy>
</cp:coreProperties>
</file>